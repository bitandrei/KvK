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Wave Timing" sheetId="1" state="visible" r:id="rId1"/>
    <sheet xmlns:r="http://schemas.openxmlformats.org/officeDocument/2006/relationships" name="2 Counter Delay" sheetId="2" state="visible" r:id="rId2"/>
    <sheet xmlns:r="http://schemas.openxmlformats.org/officeDocument/2006/relationships" name="3 Batch Healing" sheetId="3" state="visible" r:id="rId3"/>
    <sheet xmlns:r="http://schemas.openxmlformats.org/officeDocument/2006/relationships" name="4 Rally Fill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&quot; seconds&quot;"/>
    <numFmt numFmtId="165" formatCode="0&quot; sec&quot;"/>
    <numFmt numFmtId="166" formatCode="0&quot; sec after enemy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A04000"/>
      <sz val="9"/>
    </font>
    <font>
      <name val="Arial"/>
      <b val="1"/>
      <color rgb="00FFFFFF"/>
      <sz val="9"/>
    </font>
    <font>
      <name val="Arial"/>
      <b val="1"/>
      <color rgb="001A1A2E"/>
      <sz val="10"/>
    </font>
    <font>
      <name val="Arial"/>
      <color rgb="000000FF"/>
      <sz val="10"/>
    </font>
    <font>
      <name val="Arial"/>
      <color rgb="007F8C8D"/>
      <sz val="10"/>
    </font>
    <font>
      <name val="Arial"/>
      <color rgb="001A1A2E"/>
      <sz val="10"/>
    </font>
    <font>
      <name val="Arial"/>
      <b val="1"/>
      <color rgb="001A56A0"/>
      <sz val="10"/>
    </font>
    <font>
      <name val="Arial"/>
      <i val="1"/>
      <color rgb="007F8C8D"/>
      <sz val="9"/>
    </font>
    <font>
      <name val="Arial"/>
      <color rgb="001E6B35"/>
      <sz val="10"/>
    </font>
    <font>
      <name val="Arial"/>
      <b val="1"/>
      <color rgb="001A56A0"/>
      <sz val="11"/>
    </font>
    <font>
      <name val="Arial"/>
      <b val="1"/>
      <color rgb="001A1A2E"/>
      <sz val="11"/>
    </font>
    <font>
      <name val="Arial"/>
      <b val="1"/>
      <color rgb="001A1A2E"/>
      <sz val="9"/>
    </font>
  </fonts>
  <fills count="13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1A1A2E"/>
      </patternFill>
    </fill>
    <fill>
      <patternFill patternType="solid">
        <fgColor rgb="00EFF1F3"/>
      </patternFill>
    </fill>
    <fill>
      <patternFill patternType="solid">
        <fgColor rgb="00EBF5FB"/>
      </patternFill>
    </fill>
    <fill>
      <patternFill patternType="solid">
        <fgColor rgb="00F9FAFB"/>
      </patternFill>
    </fill>
    <fill>
      <patternFill patternType="solid">
        <fgColor rgb="00FDEDEC"/>
      </patternFill>
    </fill>
    <fill>
      <patternFill patternType="solid">
        <fgColor rgb="00EAFAF1"/>
      </patternFill>
    </fill>
    <fill>
      <patternFill patternType="solid">
        <fgColor rgb="001A56A0"/>
      </patternFill>
    </fill>
    <fill>
      <patternFill patternType="solid">
        <fgColor rgb="00FDFEF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4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  <xf numFmtId="164" fontId="8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/>
    </xf>
    <xf numFmtId="165" fontId="4" fillId="8" borderId="1" applyAlignment="1" pivotButton="0" quotePrefix="0" xfId="0">
      <alignment horizontal="center" vertical="center"/>
    </xf>
    <xf numFmtId="166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11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28" customWidth="1" min="4" max="4"/>
    <col width="32" customWidth="1" min="5" max="5"/>
  </cols>
  <sheetData>
    <row r="1" ht="34" customHeight="1">
      <c r="A1" s="1" t="inlineStr">
        <is>
          <t xml:space="preserve">  WAVE TIMING CALCULATOR</t>
        </is>
      </c>
    </row>
    <row r="2" ht="6" customHeight="1">
      <c r="A2" s="2" t="inlineStr"/>
      <c r="B2" s="2" t="inlineStr"/>
      <c r="C2" s="2" t="inlineStr"/>
      <c r="D2" s="2" t="inlineStr"/>
      <c r="E2" s="2" t="inlineStr"/>
    </row>
    <row r="3" ht="40" customHeight="1">
      <c r="A3" s="3" t="inlineStr">
        <is>
          <t>HOW TO USE:  Enter target arrival times in B6:B8. Enter each leader's measured march time (seconds) in column B rows 12-20. Column E shows the exact instruction: launch X seconds before the target arrival time. All wave leaders aim to have their rally arrive within 3-5 sec of each other.</t>
        </is>
      </c>
    </row>
    <row r="4" ht="6" customHeight="1">
      <c r="A4" s="2" t="inlineStr"/>
      <c r="B4" s="2" t="inlineStr"/>
      <c r="C4" s="2" t="inlineStr"/>
      <c r="D4" s="2" t="inlineStr"/>
      <c r="E4" s="2" t="inlineStr"/>
    </row>
    <row r="5" ht="18" customHeight="1">
      <c r="A5" s="4" t="inlineStr">
        <is>
          <t xml:space="preserve">  TARGET ARRIVAL TIMES (enter as text  e.g.  12:00:30)</t>
        </is>
      </c>
    </row>
    <row r="6" ht="22" customHeight="1">
      <c r="A6" s="5" t="inlineStr">
        <is>
          <t>Wave 1 target arrival time</t>
        </is>
      </c>
      <c r="B6" s="6" t="inlineStr">
        <is>
          <t>12:00:30</t>
        </is>
      </c>
      <c r="C6" s="7" t="inlineStr">
        <is>
          <t>First wave hits the castle</t>
        </is>
      </c>
    </row>
    <row r="7" ht="22" customHeight="1">
      <c r="A7" s="5" t="inlineStr">
        <is>
          <t>Wave 2 target arrival time</t>
        </is>
      </c>
      <c r="B7" s="6" t="inlineStr">
        <is>
          <t>12:00:33</t>
        </is>
      </c>
      <c r="C7" s="7" t="inlineStr">
        <is>
          <t>Arrives ~3 sec after Wave 1</t>
        </is>
      </c>
    </row>
    <row r="8" ht="22" customHeight="1">
      <c r="A8" s="5" t="inlineStr">
        <is>
          <t>Wave 3 target arrival time</t>
        </is>
      </c>
      <c r="B8" s="6" t="inlineStr">
        <is>
          <t>12:00:36</t>
        </is>
      </c>
      <c r="C8" s="7" t="inlineStr">
        <is>
          <t>Arrives ~3 sec after Wave 2</t>
        </is>
      </c>
    </row>
    <row r="9" ht="6" customHeight="1">
      <c r="A9" s="2" t="inlineStr"/>
      <c r="B9" s="2" t="inlineStr"/>
      <c r="C9" s="2" t="inlineStr"/>
      <c r="D9" s="2" t="inlineStr"/>
      <c r="E9" s="2" t="inlineStr"/>
    </row>
    <row r="10" ht="18" customHeight="1">
      <c r="A10" s="8" t="inlineStr">
        <is>
          <t xml:space="preserve">  LEADER MARCH TIMES — enter your measured march time (seconds) in the blue cells</t>
        </is>
      </c>
    </row>
    <row r="11" ht="28" customHeight="1">
      <c r="A11" s="9" t="inlineStr">
        <is>
          <t>Wave / Leader</t>
        </is>
      </c>
      <c r="B11" s="9" t="inlineStr">
        <is>
          <t>My March Time
(seconds)</t>
        </is>
      </c>
      <c r="C11" s="9" t="inlineStr">
        <is>
          <t>Target Arrival</t>
        </is>
      </c>
      <c r="D11" s="9" t="inlineStr">
        <is>
          <t>Launch Instruction</t>
        </is>
      </c>
      <c r="E11" s="9" t="inlineStr">
        <is>
          <t>Voice Countdown Note</t>
        </is>
      </c>
    </row>
    <row r="12" ht="20" customHeight="1">
      <c r="A12" s="10" t="inlineStr">
        <is>
          <t>Wave 1  —  Pentode</t>
        </is>
      </c>
      <c r="B12" s="6" t="n">
        <v>18</v>
      </c>
      <c r="C12" s="11">
        <f>B6</f>
        <v/>
      </c>
      <c r="D12" s="12">
        <f>"Launch "&amp;B12&amp;" sec before arrival"</f>
        <v/>
      </c>
      <c r="E12" s="13">
        <f>"Press Start Rally at T-minus "&amp;B12&amp;" seconds from "&amp;B6</f>
        <v/>
      </c>
    </row>
    <row r="13" ht="20" customHeight="1">
      <c r="A13" s="10" t="inlineStr">
        <is>
          <t>Wave 1  —  Pikachu</t>
        </is>
      </c>
      <c r="B13" s="6" t="n">
        <v>18</v>
      </c>
      <c r="C13" s="11">
        <f>B6</f>
        <v/>
      </c>
      <c r="D13" s="12">
        <f>"Launch "&amp;B13&amp;" sec before arrival"</f>
        <v/>
      </c>
      <c r="E13" s="13">
        <f>"Press Start Rally at T-minus "&amp;B13&amp;" seconds from "&amp;B6</f>
        <v/>
      </c>
    </row>
    <row r="14" ht="20" customHeight="1">
      <c r="A14" s="10" t="inlineStr">
        <is>
          <t>Wave 1  —  Yensid</t>
        </is>
      </c>
      <c r="B14" s="6" t="n">
        <v>15</v>
      </c>
      <c r="C14" s="11">
        <f>B6</f>
        <v/>
      </c>
      <c r="D14" s="12">
        <f>"Launch "&amp;B14&amp;" sec before arrival"</f>
        <v/>
      </c>
      <c r="E14" s="13">
        <f>"Press Start Rally at T-minus "&amp;B14&amp;" seconds from "&amp;B6</f>
        <v/>
      </c>
    </row>
    <row r="15" ht="20" customHeight="1">
      <c r="A15" s="14" t="inlineStr">
        <is>
          <t>Wave 2  —  Nick</t>
        </is>
      </c>
      <c r="B15" s="6" t="n">
        <v>14</v>
      </c>
      <c r="C15" s="15">
        <f>B7</f>
        <v/>
      </c>
      <c r="D15" s="16">
        <f>"Launch "&amp;B15&amp;" sec before arrival"</f>
        <v/>
      </c>
      <c r="E15" s="17">
        <f>"Press Start Rally at T-minus "&amp;B15&amp;" seconds from "&amp;B7</f>
        <v/>
      </c>
    </row>
    <row r="16" ht="20" customHeight="1">
      <c r="A16" s="14" t="inlineStr">
        <is>
          <t>Wave 2  —  Admiral</t>
        </is>
      </c>
      <c r="B16" s="6" t="n">
        <v>14</v>
      </c>
      <c r="C16" s="15">
        <f>B7</f>
        <v/>
      </c>
      <c r="D16" s="16">
        <f>"Launch "&amp;B16&amp;" sec before arrival"</f>
        <v/>
      </c>
      <c r="E16" s="17">
        <f>"Press Start Rally at T-minus "&amp;B16&amp;" seconds from "&amp;B7</f>
        <v/>
      </c>
    </row>
    <row r="17" ht="20" customHeight="1">
      <c r="A17" s="14" t="inlineStr">
        <is>
          <t>Wave 2  —  Lord Minion</t>
        </is>
      </c>
      <c r="B17" s="6" t="n">
        <v>16</v>
      </c>
      <c r="C17" s="15">
        <f>B7</f>
        <v/>
      </c>
      <c r="D17" s="16">
        <f>"Launch "&amp;B17&amp;" sec before arrival"</f>
        <v/>
      </c>
      <c r="E17" s="17">
        <f>"Press Start Rally at T-minus "&amp;B17&amp;" seconds from "&amp;B7</f>
        <v/>
      </c>
    </row>
    <row r="18" ht="20" customHeight="1">
      <c r="A18" s="18" t="inlineStr">
        <is>
          <t>Wave 3  —  Brumbar</t>
        </is>
      </c>
      <c r="B18" s="6" t="n">
        <v>22</v>
      </c>
      <c r="C18" s="19">
        <f>B8</f>
        <v/>
      </c>
      <c r="D18" s="20">
        <f>"Launch "&amp;B18&amp;" sec before arrival"</f>
        <v/>
      </c>
      <c r="E18" s="21">
        <f>"Press Start Rally at T-minus "&amp;B18&amp;" seconds from "&amp;B8</f>
        <v/>
      </c>
    </row>
    <row r="19" ht="20" customHeight="1">
      <c r="A19" s="18" t="inlineStr">
        <is>
          <t>Wave 3  —  Marco</t>
        </is>
      </c>
      <c r="B19" s="6" t="n">
        <v>22</v>
      </c>
      <c r="C19" s="19">
        <f>B8</f>
        <v/>
      </c>
      <c r="D19" s="20">
        <f>"Launch "&amp;B19&amp;" sec before arrival"</f>
        <v/>
      </c>
      <c r="E19" s="21">
        <f>"Press Start Rally at T-minus "&amp;B19&amp;" seconds from "&amp;B8</f>
        <v/>
      </c>
    </row>
    <row r="20" ht="20" customHeight="1">
      <c r="A20" s="18" t="inlineStr">
        <is>
          <t>Wave 3  —  WiFi</t>
        </is>
      </c>
      <c r="B20" s="6" t="n">
        <v>20</v>
      </c>
      <c r="C20" s="19">
        <f>B8</f>
        <v/>
      </c>
      <c r="D20" s="20">
        <f>"Launch "&amp;B20&amp;" sec before arrival"</f>
        <v/>
      </c>
      <c r="E20" s="21">
        <f>"Press Start Rally at T-minus "&amp;B20&amp;" seconds from "&amp;B8</f>
        <v/>
      </c>
    </row>
    <row r="21" ht="6" customHeight="1">
      <c r="A21" s="2" t="inlineStr"/>
      <c r="B21" s="2" t="inlineStr"/>
      <c r="C21" s="2" t="inlineStr"/>
      <c r="D21" s="2" t="inlineStr"/>
      <c r="E21" s="2" t="inlineStr"/>
    </row>
    <row r="22" ht="36" customHeight="1">
      <c r="A22" s="22" t="inlineStr">
        <is>
          <t>HOW TO MEASURE MARCH TIME:  Before the battle starts, send a solo attack from your staging position to the castle. Read your march time from the battle report. Enter it in column B above. Do this for every rally leader.</t>
        </is>
      </c>
    </row>
    <row r="23" ht="6" customHeight="1">
      <c r="A23" s="2" t="inlineStr"/>
      <c r="B23" s="2" t="inlineStr"/>
      <c r="C23" s="2" t="inlineStr"/>
      <c r="D23" s="2" t="inlineStr"/>
      <c r="E23" s="2" t="inlineStr"/>
    </row>
    <row r="24" ht="18" customHeight="1">
      <c r="A24" s="8" t="inlineStr">
        <is>
          <t xml:space="preserve">  MINIMUM FILL THRESHOLD — update blue cells during the battle</t>
        </is>
      </c>
    </row>
    <row r="25" ht="28" customHeight="1">
      <c r="A25" s="9" t="inlineStr">
        <is>
          <t>Wave</t>
        </is>
      </c>
      <c r="B25" s="9" t="inlineStr">
        <is>
          <t>Min. Fillers Required</t>
        </is>
      </c>
      <c r="C25" s="9" t="inlineStr">
        <is>
          <t>Current Fill
(update live)</t>
        </is>
      </c>
      <c r="D25" s="9" t="inlineStr">
        <is>
          <t>Status</t>
        </is>
      </c>
      <c r="E25" s="9" t="inlineStr"/>
    </row>
    <row r="26" ht="22" customHeight="1">
      <c r="A26" s="10" t="inlineStr">
        <is>
          <t>Wave 1</t>
        </is>
      </c>
      <c r="B26" s="11" t="n">
        <v>6</v>
      </c>
      <c r="C26" s="6" t="n">
        <v>8</v>
      </c>
      <c r="D26" s="23">
        <f>IF(C26&gt;=$B26+1,"✔  READY TO LAUNCH","✘  HOLD — "&amp;(($B26+1)-C26)&amp;" more needed")</f>
        <v/>
      </c>
      <c r="E26" s="10" t="inlineStr"/>
    </row>
    <row r="27" ht="22" customHeight="1">
      <c r="A27" s="14" t="inlineStr">
        <is>
          <t>Wave 2</t>
        </is>
      </c>
      <c r="B27" s="15" t="n">
        <v>6</v>
      </c>
      <c r="C27" s="6" t="n">
        <v>8</v>
      </c>
      <c r="D27" s="23">
        <f>IF(C27&gt;=$B27+1,"✔  READY TO LAUNCH","✘  HOLD — "&amp;(($B27+1)-C27)&amp;" more needed")</f>
        <v/>
      </c>
      <c r="E27" s="14" t="inlineStr"/>
    </row>
    <row r="28" ht="22" customHeight="1">
      <c r="A28" s="18" t="inlineStr">
        <is>
          <t>Wave 3</t>
        </is>
      </c>
      <c r="B28" s="19" t="n">
        <v>6</v>
      </c>
      <c r="C28" s="6" t="n">
        <v>8</v>
      </c>
      <c r="D28" s="23">
        <f>IF(C28&gt;=$B28+1,"✔  READY TO LAUNCH","✘  HOLD — "&amp;(($B28+1)-C28)&amp;" more needed")</f>
        <v/>
      </c>
      <c r="E28" s="18" t="inlineStr"/>
    </row>
    <row r="29" ht="6" customHeight="1">
      <c r="A29" s="2" t="inlineStr"/>
      <c r="B29" s="2" t="inlineStr"/>
      <c r="C29" s="2" t="inlineStr"/>
      <c r="D29" s="2" t="inlineStr"/>
      <c r="E29" s="2" t="inlineStr"/>
    </row>
    <row r="30" ht="28" customHeight="1">
      <c r="A30" s="3" t="inlineStr">
        <is>
          <t>Do NOT launch any wave with fewer than 6 confirmed fillers. If underfilled, hold and maintain solo pressure until next cycle.</t>
        </is>
      </c>
    </row>
  </sheetData>
  <mergeCells count="10">
    <mergeCell ref="A30:E30"/>
    <mergeCell ref="A24:E24"/>
    <mergeCell ref="A10:E10"/>
    <mergeCell ref="C8:E8"/>
    <mergeCell ref="A1:E1"/>
    <mergeCell ref="A5:E5"/>
    <mergeCell ref="C7:E7"/>
    <mergeCell ref="A22:E22"/>
    <mergeCell ref="C6:E6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12" customWidth="1" min="4" max="4"/>
  </cols>
  <sheetData>
    <row r="1" ht="34" customHeight="1">
      <c r="A1" s="24" t="inlineStr">
        <is>
          <t xml:space="preserve">  GROUP 2 COUNTER DELAY CALCULATOR</t>
        </is>
      </c>
    </row>
    <row r="2" ht="6" customHeight="1">
      <c r="A2" s="2" t="inlineStr"/>
      <c r="B2" s="2" t="inlineStr"/>
      <c r="C2" s="2" t="inlineStr"/>
      <c r="D2" s="2" t="inlineStr"/>
    </row>
    <row r="3" ht="40" customHeight="1">
      <c r="A3" s="3" t="inlineStr">
        <is>
          <t>FORMULA:  Group 2 Launch Delay = Enemy March Time + Battle Duration + Safety Buffer - Group 2 March Time.  This is the number of seconds AFTER the enemy launches that Group 2 presses Start Rally — ensuring Group 2 arrives just after the enemy rally has cleared the castle.</t>
        </is>
      </c>
    </row>
    <row r="4" ht="6" customHeight="1">
      <c r="A4" s="2" t="inlineStr"/>
      <c r="B4" s="2" t="inlineStr"/>
      <c r="C4" s="2" t="inlineStr"/>
      <c r="D4" s="2" t="inlineStr"/>
    </row>
    <row r="5" ht="18" customHeight="1">
      <c r="A5" s="4" t="inlineStr">
        <is>
          <t xml:space="preserve">  INPUTS  —  measure these before every battle</t>
        </is>
      </c>
    </row>
    <row r="6" ht="36" customHeight="1">
      <c r="A6" s="5" t="inlineStr">
        <is>
          <t>Enemy march time (seconds)</t>
        </is>
      </c>
      <c r="B6" s="6" t="n">
        <v>20</v>
      </c>
      <c r="C6" s="7" t="inlineStr">
        <is>
          <t>Estimate from map distance to enemy camp. Check previous battle reports for accuracy.</t>
        </is>
      </c>
      <c r="D6" s="25" t="inlineStr"/>
    </row>
    <row r="7" ht="36" customHeight="1">
      <c r="A7" s="5" t="inlineStr">
        <is>
          <t>Castle battle duration (seconds)</t>
        </is>
      </c>
      <c r="B7" s="6" t="n">
        <v>4</v>
      </c>
      <c r="C7" s="7" t="inlineStr">
        <is>
          <t>Typical garrison battle lasts 3-6 sec. Default 4. Adjust after reading first battle report.</t>
        </is>
      </c>
      <c r="D7" s="25" t="inlineStr"/>
    </row>
    <row r="8" ht="36" customHeight="1">
      <c r="A8" s="5" t="inlineStr">
        <is>
          <t>Group 2 march time (seconds)</t>
        </is>
      </c>
      <c r="B8" s="6" t="n">
        <v>10</v>
      </c>
      <c r="C8" s="7" t="inlineStr">
        <is>
          <t>Measure Group 2's march time from staging position to castle. Same method as Wave leaders.</t>
        </is>
      </c>
      <c r="D8" s="25" t="inlineStr"/>
    </row>
    <row r="9" ht="36" customHeight="1">
      <c r="A9" s="5" t="inlineStr">
        <is>
          <t>Safety buffer (seconds)</t>
        </is>
      </c>
      <c r="B9" s="6" t="n">
        <v>2</v>
      </c>
      <c r="C9" s="7" t="inlineStr">
        <is>
          <t>Extra seconds to guarantee Group 2 arrives AFTER the enemy. Minimum 2 recommended.</t>
        </is>
      </c>
      <c r="D9" s="25" t="inlineStr"/>
    </row>
    <row r="10" ht="6" customHeight="1">
      <c r="A10" s="2" t="inlineStr"/>
      <c r="B10" s="2" t="inlineStr"/>
      <c r="C10" s="2" t="inlineStr"/>
      <c r="D10" s="2" t="inlineStr"/>
    </row>
    <row r="11" ht="18" customHeight="1">
      <c r="A11" s="26" t="inlineStr">
        <is>
          <t xml:space="preserve">  RESULT</t>
        </is>
      </c>
    </row>
    <row r="12" ht="42" customHeight="1">
      <c r="A12" s="23" t="inlineStr">
        <is>
          <t>Group 2 launch delay (seconds after enemy launches)</t>
        </is>
      </c>
      <c r="B12" s="27">
        <f>B6+B7+B9-B8</f>
        <v/>
      </c>
      <c r="C12" s="28" t="inlineStr">
        <is>
          <t>Count from enemy rally launch. Group 2 presses Start Rally at this many seconds.</t>
        </is>
      </c>
    </row>
    <row r="13" ht="6" customHeight="1">
      <c r="A13" s="2" t="inlineStr"/>
      <c r="B13" s="2" t="inlineStr"/>
      <c r="C13" s="2" t="inlineStr"/>
      <c r="D13" s="2" t="inlineStr"/>
    </row>
    <row r="14" ht="20" customHeight="1">
      <c r="A14" s="29" t="inlineStr">
        <is>
          <t>Enemy arrival time (seconds from launch)</t>
        </is>
      </c>
      <c r="B14" s="30">
        <f>B6</f>
        <v/>
      </c>
    </row>
    <row r="15" ht="20" customHeight="1">
      <c r="A15" s="29" t="inlineStr">
        <is>
          <t>Group 2 arrival time (seconds from launch)</t>
        </is>
      </c>
      <c r="B15" s="30">
        <f>B6+B7+B9</f>
        <v/>
      </c>
    </row>
    <row r="16" ht="20" customHeight="1">
      <c r="A16" s="29" t="inlineStr">
        <is>
          <t>Gap — Group 2 arrives how long after enemy?</t>
        </is>
      </c>
      <c r="B16" s="31">
        <f>B15-B14</f>
        <v/>
      </c>
    </row>
    <row r="17" ht="28" customHeight="1">
      <c r="A17" s="32" t="inlineStr">
        <is>
          <t>Safety check</t>
        </is>
      </c>
      <c r="B17" s="33">
        <f>IF(B16&gt;0,"✔  SAFE — Group 2 arrives after enemy","✘  DANGER — increase buffer or Group 2 is too fast")</f>
        <v/>
      </c>
      <c r="C17" s="34" t="n"/>
      <c r="D17" s="35" t="n"/>
    </row>
    <row r="18" ht="6" customHeight="1">
      <c r="A18" s="2" t="inlineStr"/>
      <c r="B18" s="2" t="inlineStr"/>
      <c r="C18" s="2" t="inlineStr"/>
      <c r="D18" s="2" t="inlineStr"/>
    </row>
    <row r="19" ht="36" customHeight="1">
      <c r="A19" s="3" t="inlineStr">
        <is>
          <t>If safety check shows DANGER: increase B9 (safety buffer) or move Group 2 further away (longer march time). NEVER release Group 2 when the check is red — friendly fire on Group 1 hands the enemy a free castle.</t>
        </is>
      </c>
    </row>
    <row r="20" ht="6" customHeight="1">
      <c r="A20" s="2" t="inlineStr"/>
      <c r="B20" s="2" t="inlineStr"/>
      <c r="C20" s="2" t="inlineStr"/>
      <c r="D20" s="2" t="inlineStr"/>
    </row>
    <row r="21" ht="18" customHeight="1">
      <c r="A21" s="26" t="inlineStr">
        <is>
          <t xml:space="preserve">  SCENARIO COMPARISON — pre-calculate multiple situations before battle</t>
        </is>
      </c>
    </row>
    <row r="22" ht="28" customHeight="1">
      <c r="A22" s="36" t="inlineStr">
        <is>
          <t>Scenario</t>
        </is>
      </c>
      <c r="B22" s="36" t="inlineStr">
        <is>
          <t>Enemy March
(sec)</t>
        </is>
      </c>
      <c r="C22" s="36" t="inlineStr">
        <is>
          <t>Group 2 March
(sec)</t>
        </is>
      </c>
      <c r="D22" s="36" t="inlineStr">
        <is>
          <t>Calc. Delay
(sec)</t>
        </is>
      </c>
    </row>
    <row r="23" ht="20" customHeight="1">
      <c r="A23" s="25" t="inlineStr">
        <is>
          <t>Enemy close / we are far</t>
        </is>
      </c>
      <c r="B23" s="6" t="n">
        <v>12</v>
      </c>
      <c r="C23" s="6" t="n">
        <v>18</v>
      </c>
      <c r="D23" s="20">
        <f>IF(AND(ISNUMBER(B23),ISNUMBER(C23)),B23+$B$7+$B$9-C23,"—")</f>
        <v/>
      </c>
    </row>
    <row r="24" ht="20" customHeight="1">
      <c r="A24" s="37" t="inlineStr">
        <is>
          <t>Equal distances</t>
        </is>
      </c>
      <c r="B24" s="6" t="n">
        <v>18</v>
      </c>
      <c r="C24" s="6" t="n">
        <v>18</v>
      </c>
      <c r="D24" s="20">
        <f>IF(AND(ISNUMBER(B24),ISNUMBER(C24)),B24+$B$7+$B$9-C24,"—")</f>
        <v/>
      </c>
    </row>
    <row r="25" ht="20" customHeight="1">
      <c r="A25" s="25" t="inlineStr">
        <is>
          <t>Enemy far / we are close</t>
        </is>
      </c>
      <c r="B25" s="6" t="n">
        <v>25</v>
      </c>
      <c r="C25" s="6" t="n">
        <v>10</v>
      </c>
      <c r="D25" s="20">
        <f>IF(AND(ISNUMBER(B25),ISNUMBER(C25)),B25+$B$7+$B$9-C25,"—")</f>
        <v/>
      </c>
    </row>
    <row r="26" ht="20" customHeight="1">
      <c r="A26" s="37" t="inlineStr">
        <is>
          <t>Custom scenario</t>
        </is>
      </c>
      <c r="B26" s="38" t="n"/>
      <c r="C26" s="38" t="n"/>
      <c r="D26" s="20">
        <f>IF(AND(ISNUMBER(B26),ISNUMBER(C26)),B26+$B$7+$B$9-C26,"—")</f>
        <v/>
      </c>
    </row>
  </sheetData>
  <mergeCells count="8">
    <mergeCell ref="A1:D1"/>
    <mergeCell ref="C12:D12"/>
    <mergeCell ref="A5:D5"/>
    <mergeCell ref="A3:D3"/>
    <mergeCell ref="A21:D21"/>
    <mergeCell ref="B17:D17"/>
    <mergeCell ref="A19:D19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36" customWidth="1" min="3" max="3"/>
    <col width="10" customWidth="1" min="4" max="4"/>
  </cols>
  <sheetData>
    <row r="1" ht="34" customHeight="1">
      <c r="A1" s="24" t="inlineStr">
        <is>
          <t xml:space="preserve">  BATCH HEALING CALCULATOR</t>
        </is>
      </c>
    </row>
    <row r="2" ht="6" customHeight="1">
      <c r="A2" s="2" t="inlineStr"/>
      <c r="B2" s="2" t="inlineStr"/>
      <c r="C2" s="2" t="inlineStr"/>
      <c r="D2" s="2" t="inlineStr"/>
    </row>
    <row r="3" ht="36" customHeight="1">
      <c r="A3" s="3" t="inlineStr">
        <is>
          <t>Select EXACTLY the batch size shown in B12 in your Hospital before clicking Heal. Auto-Help resolves it instantly — no speed-ups used. Find your 'Healing Amount per Help' in Embassy &gt; Building Overview.</t>
        </is>
      </c>
    </row>
    <row r="4" ht="6" customHeight="1">
      <c r="A4" s="2" t="inlineStr"/>
      <c r="B4" s="2" t="inlineStr"/>
      <c r="C4" s="2" t="inlineStr"/>
      <c r="D4" s="2" t="inlineStr"/>
    </row>
    <row r="5" ht="18" customHeight="1">
      <c r="A5" s="4" t="inlineStr">
        <is>
          <t xml:space="preserve">  YOUR INPUTS — find these numbers in your Embassy and Hospital</t>
        </is>
      </c>
    </row>
    <row r="6" ht="36" customHeight="1">
      <c r="A6" s="5" t="inlineStr">
        <is>
          <t>Healing amount per Alliance Help</t>
        </is>
      </c>
      <c r="B6" s="6" t="n">
        <v>97</v>
      </c>
      <c r="C6" s="7" t="inlineStr">
        <is>
          <t>Embassy &gt; Building Overview &gt; Healing Amount per Help</t>
        </is>
      </c>
      <c r="D6" s="25" t="inlineStr"/>
    </row>
    <row r="7" ht="36" customHeight="1">
      <c r="A7" s="5" t="inlineStr">
        <is>
          <t>Active Auto-Help players right now</t>
        </is>
      </c>
      <c r="B7" s="6" t="n">
        <v>10</v>
      </c>
      <c r="C7" s="7" t="inlineStr">
        <is>
          <t>Count online alliance members currently providing Auto-Help</t>
        </is>
      </c>
      <c r="D7" s="25" t="inlineStr"/>
    </row>
    <row r="8" ht="36" customHeight="1">
      <c r="A8" s="5" t="inlineStr">
        <is>
          <t>Hospital capacity (total beds)</t>
        </is>
      </c>
      <c r="B8" s="6" t="n">
        <v>5000</v>
      </c>
      <c r="C8" s="7" t="inlineStr">
        <is>
          <t>Your total hospital capacity — check Hospital building</t>
        </is>
      </c>
      <c r="D8" s="25" t="inlineStr"/>
    </row>
    <row r="9" ht="36" customHeight="1">
      <c r="A9" s="5" t="inlineStr">
        <is>
          <t>Currently wounded troops</t>
        </is>
      </c>
      <c r="B9" s="6" t="n">
        <v>2000</v>
      </c>
      <c r="C9" s="7" t="inlineStr">
        <is>
          <t>Check your Hospital queue before starting a heal cycle</t>
        </is>
      </c>
      <c r="D9" s="25" t="inlineStr"/>
    </row>
    <row r="10" ht="6" customHeight="1">
      <c r="A10" s="2" t="inlineStr"/>
      <c r="B10" s="2" t="inlineStr"/>
      <c r="C10" s="2" t="inlineStr"/>
      <c r="D10" s="2" t="inlineStr"/>
    </row>
    <row r="11" ht="18" customHeight="1">
      <c r="A11" s="26" t="inlineStr">
        <is>
          <t xml:space="preserve">  RESULTS</t>
        </is>
      </c>
    </row>
    <row r="12" ht="36" customHeight="1">
      <c r="A12" s="23" t="inlineStr">
        <is>
          <t>Maximum instant batch size (troops)</t>
        </is>
      </c>
      <c r="B12" s="39">
        <f>B6*B7</f>
        <v/>
      </c>
      <c r="C12" s="28" t="inlineStr">
        <is>
          <t>Select EXACTLY this many in Hospital to trigger instant healing via Auto-Help</t>
        </is>
      </c>
    </row>
    <row r="13" ht="36" customHeight="1">
      <c r="A13" s="23" t="inlineStr">
        <is>
          <t>Batches needed to heal all wounded</t>
        </is>
      </c>
      <c r="B13" s="39">
        <f>IFERROR(CEILING(B9/B12,1),"—")</f>
        <v/>
      </c>
      <c r="C13" s="28" t="inlineStr">
        <is>
          <t>Full heal cycles needed to clear your hospital</t>
        </is>
      </c>
    </row>
    <row r="14" ht="36" customHeight="1">
      <c r="A14" s="23" t="inlineStr">
        <is>
          <t>Remaining after one batch</t>
        </is>
      </c>
      <c r="B14" s="39">
        <f>MAX(0,B9-B12)</f>
        <v/>
      </c>
      <c r="C14" s="28" t="inlineStr">
        <is>
          <t>Troops still wounded after completing the first batch</t>
        </is>
      </c>
    </row>
    <row r="15" ht="36" customHeight="1">
      <c r="A15" s="23" t="inlineStr">
        <is>
          <t>Hospital overflow risk?</t>
        </is>
      </c>
      <c r="B15" s="40">
        <f>IF(B9&gt;B8,"WARNING: wounded exceeds capacity — overflow losing troops","OK — hospital has enough capacity")</f>
        <v/>
      </c>
      <c r="C15" s="28" t="inlineStr">
        <is>
          <t>Keep wounded below hospital capacity at all times</t>
        </is>
      </c>
    </row>
    <row r="16" ht="6" customHeight="1">
      <c r="A16" s="2" t="inlineStr"/>
      <c r="B16" s="2" t="inlineStr"/>
      <c r="C16" s="2" t="inlineStr"/>
      <c r="D16" s="2" t="inlineStr"/>
    </row>
    <row r="17" ht="40" customHeight="1">
      <c r="A17" s="22" t="inlineStr">
        <is>
          <t>HEALING PRIORITY:  (1) Wave rally leaders  (2) Counter-rally leaders (Group 2)  (3) Filler players  (4) Solo attackers.  R4 calls 'Wave leaders batch heal NOW' immediately after every wave exchange completes.</t>
        </is>
      </c>
    </row>
    <row r="18" ht="6" customHeight="1">
      <c r="A18" s="2" t="inlineStr"/>
      <c r="B18" s="2" t="inlineStr"/>
      <c r="C18" s="2" t="inlineStr"/>
      <c r="D18" s="2" t="inlineStr"/>
    </row>
    <row r="19" ht="18" customHeight="1">
      <c r="A19" s="26" t="inlineStr">
        <is>
          <t xml:space="preserve">  PERSONAL BATCH SIZE ROSTER — each player fills in their own row</t>
        </is>
      </c>
    </row>
    <row r="20" ht="28" customHeight="1">
      <c r="A20" s="36" t="inlineStr">
        <is>
          <t>Player / Role</t>
        </is>
      </c>
      <c r="B20" s="36" t="inlineStr">
        <is>
          <t>Healing per Help
(from Embassy)</t>
        </is>
      </c>
      <c r="C20" s="36" t="inlineStr">
        <is>
          <t>Active Helpers
(at time of heal)</t>
        </is>
      </c>
      <c r="D20" s="36" t="inlineStr">
        <is>
          <t>My Batch Size</t>
        </is>
      </c>
    </row>
    <row r="21" ht="22" customHeight="1">
      <c r="A21" s="10" t="inlineStr">
        <is>
          <t>Yensid  —  Wave 1, Castle garrison</t>
        </is>
      </c>
      <c r="B21" s="6" t="n"/>
      <c r="C21" s="6" t="n"/>
      <c r="D21" s="41">
        <f>IF(AND(ISNUMBER(B21),ISNUMBER(C21)),B21*C21,"—")</f>
        <v/>
      </c>
    </row>
    <row r="22" ht="22" customHeight="1">
      <c r="A22" s="10" t="inlineStr">
        <is>
          <t>Pentode  —  Wave 1</t>
        </is>
      </c>
      <c r="B22" s="6" t="n"/>
      <c r="C22" s="6" t="n"/>
      <c r="D22" s="41">
        <f>IF(AND(ISNUMBER(B22),ISNUMBER(C22)),B22*C22,"—")</f>
        <v/>
      </c>
    </row>
    <row r="23" ht="22" customHeight="1">
      <c r="A23" s="10" t="inlineStr">
        <is>
          <t>Pikachu  —  Wave 1</t>
        </is>
      </c>
      <c r="B23" s="6" t="n"/>
      <c r="C23" s="6" t="n"/>
      <c r="D23" s="41">
        <f>IF(AND(ISNUMBER(B23),ISNUMBER(C23)),B23*C23,"—")</f>
        <v/>
      </c>
    </row>
    <row r="24" ht="22" customHeight="1">
      <c r="A24" s="14" t="inlineStr">
        <is>
          <t>Nick  —  Group 2 Counter</t>
        </is>
      </c>
      <c r="B24" s="6" t="n"/>
      <c r="C24" s="6" t="n"/>
      <c r="D24" s="41">
        <f>IF(AND(ISNUMBER(B24),ISNUMBER(C24)),B24*C24,"—")</f>
        <v/>
      </c>
    </row>
    <row r="25" ht="22" customHeight="1">
      <c r="A25" s="14" t="inlineStr">
        <is>
          <t>Admiral  —  Group 2 Counter</t>
        </is>
      </c>
      <c r="B25" s="6" t="n"/>
      <c r="C25" s="6" t="n"/>
      <c r="D25" s="41">
        <f>IF(AND(ISNUMBER(B25),ISNUMBER(C25)),B25*C25,"—")</f>
        <v/>
      </c>
    </row>
    <row r="26" ht="22" customHeight="1">
      <c r="A26" s="14" t="inlineStr">
        <is>
          <t>Lord Minion  —  Group 2 Counter</t>
        </is>
      </c>
      <c r="B26" s="6" t="n"/>
      <c r="C26" s="6" t="n"/>
      <c r="D26" s="41">
        <f>IF(AND(ISNUMBER(B26),ISNUMBER(C26)),B26*C26,"—")</f>
        <v/>
      </c>
    </row>
    <row r="27" ht="22" customHeight="1">
      <c r="A27" s="18" t="inlineStr">
        <is>
          <t>Brumbar  —  Wave 3 / Turret West</t>
        </is>
      </c>
      <c r="B27" s="6" t="n"/>
      <c r="C27" s="6" t="n"/>
      <c r="D27" s="41">
        <f>IF(AND(ISNUMBER(B27),ISNUMBER(C27)),B27*C27,"—")</f>
        <v/>
      </c>
    </row>
    <row r="28" ht="22" customHeight="1">
      <c r="A28" s="18" t="inlineStr">
        <is>
          <t>Marco  —  Wave 3 / Turret North</t>
        </is>
      </c>
      <c r="B28" s="6" t="n"/>
      <c r="C28" s="6" t="n"/>
      <c r="D28" s="41">
        <f>IF(AND(ISNUMBER(B28),ISNUMBER(C28)),B28*C28,"—")</f>
        <v/>
      </c>
    </row>
    <row r="29" ht="22" customHeight="1">
      <c r="A29" s="18" t="inlineStr">
        <is>
          <t>WiFi  —  Wave 3</t>
        </is>
      </c>
      <c r="B29" s="6" t="n"/>
      <c r="C29" s="6" t="n"/>
      <c r="D29" s="41">
        <f>IF(AND(ISNUMBER(B29),ISNUMBER(C29)),B29*C29,"—")</f>
        <v/>
      </c>
    </row>
    <row r="30" ht="22" customHeight="1">
      <c r="A30" s="25" t="inlineStr">
        <is>
          <t>Backup 1  —  fill in name</t>
        </is>
      </c>
      <c r="B30" s="6" t="n"/>
      <c r="C30" s="6" t="n"/>
      <c r="D30" s="41">
        <f>IF(AND(ISNUMBER(B30),ISNUMBER(C30)),B30*C30,"—")</f>
        <v/>
      </c>
    </row>
    <row r="31" ht="22" customHeight="1">
      <c r="A31" s="25" t="inlineStr">
        <is>
          <t>Backup 2  —  fill in name</t>
        </is>
      </c>
      <c r="B31" s="6" t="n"/>
      <c r="C31" s="6" t="n"/>
      <c r="D31" s="41">
        <f>IF(AND(ISNUMBER(B31),ISNUMBER(C31)),B31*C31,"—")</f>
        <v/>
      </c>
    </row>
    <row r="32" ht="22" customHeight="1">
      <c r="A32" s="25" t="inlineStr">
        <is>
          <t>Backup 3  —  fill in name</t>
        </is>
      </c>
      <c r="B32" s="6" t="n"/>
      <c r="C32" s="6" t="n"/>
      <c r="D32" s="41">
        <f>IF(AND(ISNUMBER(B32),ISNUMBER(C32)),B32*C32,"—")</f>
        <v/>
      </c>
    </row>
  </sheetData>
  <mergeCells count="10">
    <mergeCell ref="A1:D1"/>
    <mergeCell ref="C12:D12"/>
    <mergeCell ref="A5:D5"/>
    <mergeCell ref="A17:D17"/>
    <mergeCell ref="C15:D15"/>
    <mergeCell ref="A3:D3"/>
    <mergeCell ref="C14:D14"/>
    <mergeCell ref="C13:D13"/>
    <mergeCell ref="A19:D19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24" customWidth="1" min="5" max="5"/>
    <col width="30" customWidth="1" min="6" max="6"/>
  </cols>
  <sheetData>
    <row r="1" ht="34" customHeight="1">
      <c r="A1" s="1" t="inlineStr">
        <is>
          <t xml:space="preserve">  RALLY FILL TRACKER</t>
        </is>
      </c>
    </row>
    <row r="2" ht="6" customHeight="1">
      <c r="A2" s="2" t="inlineStr"/>
      <c r="B2" s="2" t="inlineStr"/>
      <c r="C2" s="2" t="inlineStr"/>
      <c r="D2" s="2" t="inlineStr"/>
      <c r="E2" s="2" t="inlineStr"/>
      <c r="F2" s="2" t="inlineStr"/>
    </row>
    <row r="3" ht="40" customHeight="1">
      <c r="A3" s="3" t="inlineStr">
        <is>
          <t>R4 UPDATE LIVE:  Enter current fill count in the blue D column during the battle. Status column shows GREEN (ready) or RED (hold). Wave summary at the bottom shows when all rallies in a wave are clear to launch. Turret rallies launch only AFTER the castle is captured.</t>
        </is>
      </c>
    </row>
    <row r="4" ht="6" customHeight="1">
      <c r="A4" s="2" t="inlineStr"/>
      <c r="B4" s="2" t="inlineStr"/>
      <c r="C4" s="2" t="inlineStr"/>
      <c r="D4" s="2" t="inlineStr"/>
      <c r="E4" s="2" t="inlineStr"/>
      <c r="F4" s="2" t="inlineStr"/>
    </row>
    <row r="5" ht="18" customHeight="1">
      <c r="A5" s="8" t="inlineStr">
        <is>
          <t xml:space="preserve">  WAVE &amp; TURRET FILL STATUS</t>
        </is>
      </c>
    </row>
    <row r="6" ht="28" customHeight="1">
      <c r="A6" s="9" t="inlineStr">
        <is>
          <t>Wave / Rally Leader</t>
        </is>
      </c>
      <c r="B6" s="9" t="inlineStr">
        <is>
          <t>Min. Fillers
Required</t>
        </is>
      </c>
      <c r="C6" s="9" t="inlineStr">
        <is>
          <t>Max. Capacity</t>
        </is>
      </c>
      <c r="D6" s="9" t="inlineStr">
        <is>
          <t>Current Fill
(update live)</t>
        </is>
      </c>
      <c r="E6" s="9" t="inlineStr">
        <is>
          <t>Status</t>
        </is>
      </c>
      <c r="F6" s="9" t="inlineStr">
        <is>
          <t>Notes</t>
        </is>
      </c>
    </row>
    <row r="7" ht="22" customHeight="1">
      <c r="A7" s="10" t="inlineStr">
        <is>
          <t>Wave 1  —  Pentode</t>
        </is>
      </c>
      <c r="B7" s="11" t="n">
        <v>6</v>
      </c>
      <c r="C7" s="11" t="n">
        <v>9</v>
      </c>
      <c r="D7" s="6" t="n">
        <v>0</v>
      </c>
      <c r="E7" s="42">
        <f>IF(D7="","—",IF(D7&gt;C7,"OVERFILLED",IF(D7&gt;=B7,"READY","HOLD — "&amp;(B7-D7)&amp;" more")))</f>
        <v/>
      </c>
      <c r="F7" s="43" t="inlineStr">
        <is>
          <t>Castle assault — Wave 1</t>
        </is>
      </c>
    </row>
    <row r="8" ht="22" customHeight="1">
      <c r="A8" s="10" t="inlineStr">
        <is>
          <t>Wave 1  —  Pikachu</t>
        </is>
      </c>
      <c r="B8" s="11" t="n">
        <v>6</v>
      </c>
      <c r="C8" s="11" t="n">
        <v>9</v>
      </c>
      <c r="D8" s="6" t="n">
        <v>0</v>
      </c>
      <c r="E8" s="42">
        <f>IF(D8="","—",IF(D8&gt;C8,"OVERFILLED",IF(D8&gt;=B8,"READY","HOLD — "&amp;(B8-D8)&amp;" more")))</f>
        <v/>
      </c>
      <c r="F8" s="43" t="inlineStr">
        <is>
          <t>Castle assault — Wave 1</t>
        </is>
      </c>
    </row>
    <row r="9" ht="22" customHeight="1">
      <c r="A9" s="10" t="inlineStr">
        <is>
          <t>Wave 1  —  Yensid</t>
        </is>
      </c>
      <c r="B9" s="11" t="n">
        <v>6</v>
      </c>
      <c r="C9" s="11" t="n">
        <v>8</v>
      </c>
      <c r="D9" s="6" t="n">
        <v>0</v>
      </c>
      <c r="E9" s="42">
        <f>IF(D9="","—",IF(D9&gt;C9,"OVERFILLED",IF(D9&gt;=B9,"READY","HOLD — "&amp;(B9-D9)&amp;" more")))</f>
        <v/>
      </c>
      <c r="F9" s="43" t="inlineStr">
        <is>
          <t>Castle garrison — 8 max</t>
        </is>
      </c>
    </row>
    <row r="10" ht="6" customHeight="1">
      <c r="A10" s="2" t="inlineStr"/>
      <c r="B10" s="2" t="inlineStr"/>
      <c r="C10" s="2" t="inlineStr"/>
      <c r="D10" s="2" t="inlineStr"/>
      <c r="E10" s="2" t="inlineStr"/>
      <c r="F10" s="2" t="inlineStr"/>
    </row>
    <row r="11" ht="22" customHeight="1">
      <c r="A11" s="14" t="inlineStr">
        <is>
          <t>Wave 2  —  Nick</t>
        </is>
      </c>
      <c r="B11" s="15" t="n">
        <v>6</v>
      </c>
      <c r="C11" s="15" t="n">
        <v>9</v>
      </c>
      <c r="D11" s="6" t="n">
        <v>0</v>
      </c>
      <c r="E11" s="42">
        <f>IF(D11="","—",IF(D11&gt;C11,"OVERFILLED",IF(D11&gt;=B11,"READY","HOLD — "&amp;(B11-D11)&amp;" more")))</f>
        <v/>
      </c>
      <c r="F11" s="44" t="inlineStr">
        <is>
          <t>Counter-rally — Group 2</t>
        </is>
      </c>
    </row>
    <row r="12" ht="22" customHeight="1">
      <c r="A12" s="14" t="inlineStr">
        <is>
          <t>Wave 2  —  Admiral</t>
        </is>
      </c>
      <c r="B12" s="15" t="n">
        <v>6</v>
      </c>
      <c r="C12" s="15" t="n">
        <v>9</v>
      </c>
      <c r="D12" s="6" t="n">
        <v>0</v>
      </c>
      <c r="E12" s="42">
        <f>IF(D12="","—",IF(D12&gt;C12,"OVERFILLED",IF(D12&gt;=B12,"READY","HOLD — "&amp;(B12-D12)&amp;" more")))</f>
        <v/>
      </c>
      <c r="F12" s="44" t="inlineStr">
        <is>
          <t>Counter-rally — Group 2</t>
        </is>
      </c>
    </row>
    <row r="13" ht="22" customHeight="1">
      <c r="A13" s="14" t="inlineStr">
        <is>
          <t>Wave 2  —  Lord Minion</t>
        </is>
      </c>
      <c r="B13" s="15" t="n">
        <v>6</v>
      </c>
      <c r="C13" s="15" t="n">
        <v>9</v>
      </c>
      <c r="D13" s="6" t="n">
        <v>0</v>
      </c>
      <c r="E13" s="42">
        <f>IF(D13="","—",IF(D13&gt;C13,"OVERFILLED",IF(D13&gt;=B13,"READY","HOLD — "&amp;(B13-D13)&amp;" more")))</f>
        <v/>
      </c>
      <c r="F13" s="44" t="inlineStr">
        <is>
          <t>Counter-rally — Group 2</t>
        </is>
      </c>
    </row>
    <row r="14" ht="6" customHeight="1">
      <c r="A14" s="2" t="inlineStr"/>
      <c r="B14" s="2" t="inlineStr"/>
      <c r="C14" s="2" t="inlineStr"/>
      <c r="D14" s="2" t="inlineStr"/>
      <c r="E14" s="2" t="inlineStr"/>
      <c r="F14" s="2" t="inlineStr"/>
    </row>
    <row r="15" ht="22" customHeight="1">
      <c r="A15" s="18" t="inlineStr">
        <is>
          <t>Wave 3  —  Brumbar</t>
        </is>
      </c>
      <c r="B15" s="19" t="n">
        <v>6</v>
      </c>
      <c r="C15" s="19" t="n">
        <v>9</v>
      </c>
      <c r="D15" s="6" t="n">
        <v>0</v>
      </c>
      <c r="E15" s="42">
        <f>IF(D15="","—",IF(D15&gt;C15,"OVERFILLED",IF(D15&gt;=B15,"READY","HOLD — "&amp;(B15-D15)&amp;" more")))</f>
        <v/>
      </c>
      <c r="F15" s="45" t="inlineStr">
        <is>
          <t>Support / fresh troops</t>
        </is>
      </c>
    </row>
    <row r="16" ht="22" customHeight="1">
      <c r="A16" s="18" t="inlineStr">
        <is>
          <t>Wave 3  —  Marco</t>
        </is>
      </c>
      <c r="B16" s="19" t="n">
        <v>6</v>
      </c>
      <c r="C16" s="19" t="n">
        <v>9</v>
      </c>
      <c r="D16" s="6" t="n">
        <v>0</v>
      </c>
      <c r="E16" s="42">
        <f>IF(D16="","—",IF(D16&gt;C16,"OVERFILLED",IF(D16&gt;=B16,"READY","HOLD — "&amp;(B16-D16)&amp;" more")))</f>
        <v/>
      </c>
      <c r="F16" s="45" t="inlineStr">
        <is>
          <t>Support / fresh troops</t>
        </is>
      </c>
    </row>
    <row r="17" ht="22" customHeight="1">
      <c r="A17" s="18" t="inlineStr">
        <is>
          <t>Wave 3  —  WiFi</t>
        </is>
      </c>
      <c r="B17" s="19" t="n">
        <v>6</v>
      </c>
      <c r="C17" s="19" t="n">
        <v>9</v>
      </c>
      <c r="D17" s="6" t="n">
        <v>0</v>
      </c>
      <c r="E17" s="42">
        <f>IF(D17="","—",IF(D17&gt;C17,"OVERFILLED",IF(D17&gt;=B17,"READY","HOLD — "&amp;(B17-D17)&amp;" more")))</f>
        <v/>
      </c>
      <c r="F17" s="45" t="inlineStr">
        <is>
          <t>Support / fresh troops</t>
        </is>
      </c>
    </row>
    <row r="18" ht="6" customHeight="1">
      <c r="A18" s="2" t="inlineStr"/>
      <c r="B18" s="2" t="inlineStr"/>
      <c r="C18" s="2" t="inlineStr"/>
      <c r="D18" s="2" t="inlineStr"/>
      <c r="E18" s="2" t="inlineStr"/>
      <c r="F18" s="2" t="inlineStr"/>
    </row>
    <row r="19" ht="22" customHeight="1">
      <c r="A19" s="46" t="inlineStr">
        <is>
          <t>Turret  —  Pentode</t>
        </is>
      </c>
      <c r="B19" s="47" t="n">
        <v>4</v>
      </c>
      <c r="C19" s="47" t="n">
        <v>9</v>
      </c>
      <c r="D19" s="6" t="n">
        <v>0</v>
      </c>
      <c r="E19" s="42">
        <f>IF(D19="","—",IF(D19&gt;C19,"OVERFILLED",IF(D19&gt;=B19,"READY","HOLD — "&amp;(B19-D19)&amp;" more")))</f>
        <v/>
      </c>
      <c r="F19" s="48" t="inlineStr">
        <is>
          <t>Post-castle — East turret</t>
        </is>
      </c>
    </row>
    <row r="20" ht="22" customHeight="1">
      <c r="A20" s="46" t="inlineStr">
        <is>
          <t>Turret  —  Pikachu</t>
        </is>
      </c>
      <c r="B20" s="47" t="n">
        <v>4</v>
      </c>
      <c r="C20" s="47" t="n">
        <v>9</v>
      </c>
      <c r="D20" s="6" t="n">
        <v>0</v>
      </c>
      <c r="E20" s="42">
        <f>IF(D20="","—",IF(D20&gt;C20,"OVERFILLED",IF(D20&gt;=B20,"READY","HOLD — "&amp;(B20-D20)&amp;" more")))</f>
        <v/>
      </c>
      <c r="F20" s="48" t="inlineStr">
        <is>
          <t>Post-castle — South turret</t>
        </is>
      </c>
    </row>
    <row r="21" ht="22" customHeight="1">
      <c r="A21" s="46" t="inlineStr">
        <is>
          <t>Turret  —  Brumbar</t>
        </is>
      </c>
      <c r="B21" s="47" t="n">
        <v>4</v>
      </c>
      <c r="C21" s="47" t="n">
        <v>9</v>
      </c>
      <c r="D21" s="6" t="n">
        <v>0</v>
      </c>
      <c r="E21" s="42">
        <f>IF(D21="","—",IF(D21&gt;C21,"OVERFILLED",IF(D21&gt;=B21,"READY","HOLD — "&amp;(B21-D21)&amp;" more")))</f>
        <v/>
      </c>
      <c r="F21" s="48" t="inlineStr">
        <is>
          <t>Post-castle — West turret</t>
        </is>
      </c>
    </row>
    <row r="22" ht="22" customHeight="1">
      <c r="A22" s="46" t="inlineStr">
        <is>
          <t>Turret  —  Marco</t>
        </is>
      </c>
      <c r="B22" s="47" t="n">
        <v>4</v>
      </c>
      <c r="C22" s="47" t="n">
        <v>9</v>
      </c>
      <c r="D22" s="6" t="n">
        <v>0</v>
      </c>
      <c r="E22" s="42">
        <f>IF(D22="","—",IF(D22&gt;C22,"OVERFILLED",IF(D22&gt;=B22,"READY","HOLD — "&amp;(B22-D22)&amp;" more")))</f>
        <v/>
      </c>
      <c r="F22" s="48" t="inlineStr">
        <is>
          <t>Post-castle — North turret</t>
        </is>
      </c>
    </row>
    <row r="23" ht="6" customHeight="1">
      <c r="A23" s="2" t="inlineStr"/>
      <c r="B23" s="2" t="inlineStr"/>
      <c r="C23" s="2" t="inlineStr"/>
      <c r="D23" s="2" t="inlineStr"/>
      <c r="E23" s="2" t="inlineStr"/>
      <c r="F23" s="2" t="inlineStr"/>
    </row>
    <row r="24" ht="18" customHeight="1">
      <c r="A24" s="8" t="inlineStr">
        <is>
          <t xml:space="preserve">  WAVE READINESS SUMMARY</t>
        </is>
      </c>
    </row>
    <row r="25" ht="28" customHeight="1">
      <c r="A25" s="9" t="inlineStr">
        <is>
          <t>Wave</t>
        </is>
      </c>
      <c r="B25" s="9" t="inlineStr">
        <is>
          <t>Rallies in Wave</t>
        </is>
      </c>
      <c r="C25" s="9" t="inlineStr">
        <is>
          <t>Rallies Ready</t>
        </is>
      </c>
      <c r="D25" s="9" t="inlineStr">
        <is>
          <t>All Clear to Launch?</t>
        </is>
      </c>
      <c r="E25" s="9" t="inlineStr"/>
      <c r="F25" s="9" t="inlineStr"/>
    </row>
    <row r="26" ht="22" customHeight="1">
      <c r="A26" s="49" t="inlineStr">
        <is>
          <t>Wave 1</t>
        </is>
      </c>
      <c r="B26" s="50" t="n">
        <v>3</v>
      </c>
      <c r="C26" s="50">
        <f>IF(D7&gt;=$B7,1,0)+IF(D8&gt;=$B8,1,0)+IF(D9&gt;=$B9,1,0)</f>
        <v/>
      </c>
      <c r="D26" s="51">
        <f>IF(C26=B26,"LAUNCH AUTHORIZED","WAIT — "&amp;(B26-C26)&amp;" rallies not ready")</f>
        <v/>
      </c>
      <c r="E26" s="34" t="n"/>
      <c r="F26" s="35" t="n"/>
    </row>
    <row r="27" ht="22" customHeight="1">
      <c r="A27" s="52" t="inlineStr">
        <is>
          <t>Wave 2</t>
        </is>
      </c>
      <c r="B27" s="53" t="n">
        <v>3</v>
      </c>
      <c r="C27" s="53">
        <f>IF(D11&gt;=$B11,1,0)+IF(D12&gt;=$B12,1,0)+IF(D13&gt;=$B13,1,0)</f>
        <v/>
      </c>
      <c r="D27" s="51">
        <f>IF(C27=B27,"LAUNCH AUTHORIZED","WAIT — "&amp;(B27-C27)&amp;" rallies not ready")</f>
        <v/>
      </c>
      <c r="E27" s="34" t="n"/>
      <c r="F27" s="35" t="n"/>
    </row>
    <row r="28" ht="22" customHeight="1">
      <c r="A28" s="23" t="inlineStr">
        <is>
          <t>Wave 3</t>
        </is>
      </c>
      <c r="B28" s="51" t="n">
        <v>3</v>
      </c>
      <c r="C28" s="51">
        <f>IF(D15&gt;=$B15,1,0)+IF(D16&gt;=$B16,1,0)+IF(D17&gt;=$B17,1,0)</f>
        <v/>
      </c>
      <c r="D28" s="51">
        <f>IF(C28=B28,"LAUNCH AUTHORIZED","WAIT — "&amp;(B28-C28)&amp;" rallies not ready")</f>
        <v/>
      </c>
      <c r="E28" s="34" t="n"/>
      <c r="F28" s="35" t="n"/>
    </row>
    <row r="29" ht="22" customHeight="1">
      <c r="A29" s="32" t="inlineStr">
        <is>
          <t>Turrets</t>
        </is>
      </c>
      <c r="B29" s="54" t="n">
        <v>4</v>
      </c>
      <c r="C29" s="54">
        <f>IF(D19&gt;=$B19,1,0)+IF(D20&gt;=$B20,1,0)+IF(D21&gt;=$B21,1,0)+IF(D22&gt;=$B22,1,0)</f>
        <v/>
      </c>
      <c r="D29" s="51">
        <f>IF(C29=B29,"LAUNCH AUTHORIZED","WAIT — "&amp;(B29-C29)&amp;" rallies not ready")</f>
        <v/>
      </c>
      <c r="E29" s="34" t="n"/>
      <c r="F29" s="35" t="n"/>
    </row>
    <row r="30" ht="6" customHeight="1">
      <c r="A30" s="2" t="inlineStr"/>
      <c r="B30" s="2" t="inlineStr"/>
      <c r="C30" s="2" t="inlineStr"/>
      <c r="D30" s="2" t="inlineStr"/>
      <c r="E30" s="2" t="inlineStr"/>
      <c r="F30" s="2" t="inlineStr"/>
    </row>
    <row r="31" ht="36" customHeight="1">
      <c r="A31" s="3" t="inlineStr">
        <is>
          <t>TURRET RULE: Turret rallies launch ONLY after Yensid confirms castle is held. All non-Group-2 leaders immediately redirect to their assigned turret after castle capture. If turret garrison has more than 4 defenders, use double rallies on that turret.</t>
        </is>
      </c>
    </row>
  </sheetData>
  <mergeCells count="9">
    <mergeCell ref="A24:F24"/>
    <mergeCell ref="D28:F28"/>
    <mergeCell ref="D29:F29"/>
    <mergeCell ref="D27:F27"/>
    <mergeCell ref="A1:F1"/>
    <mergeCell ref="A5:F5"/>
    <mergeCell ref="A31:F31"/>
    <mergeCell ref="D26:F26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2026-05-03T20:37:35Z</dcterms:created>
  <dcterms:modified xmlns:dcterms="http://purl.org/dc/terms/" xmlns:xsi="http://www.w3.org/2001/XMLSchema-instance" xsi:type="dcterms:W3CDTF">2026-05-03T20:37:35Z</dcterms:modified>
</cp:coreProperties>
</file>